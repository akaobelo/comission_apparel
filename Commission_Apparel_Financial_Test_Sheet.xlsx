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 Tes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10.83203125" customWidth="1"/>
    <col min="2" max="2" width="40.83203125" customWidth="1"/>
    <col min="3" max="3" width="16.83203125" customWidth="1"/>
    <col min="4" max="4" width="14.83203125" customWidth="1"/>
    <col min="5" max="5" width="12.83203125" customWidth="1"/>
    <col min="6" max="6" width="22.83203125" customWidth="1"/>
    <col min="7" max="7" width="16.83203125" customWidth="1"/>
    <col min="8" max="8" width="12.83203125" customWidth="1"/>
    <col min="9" max="9" width="20.83203125" customWidth="1"/>
    <col min="10" max="10" width="18.83203125" customWidth="1"/>
    <col min="11" max="11" width="14.83203125" customWidth="1"/>
  </cols>
  <sheetData>
    <row r="1">
      <c r="A1" t="str">
        <v>Commission Apparel - Financial &amp; Mathematical Test Matrix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Formulas used: Net Margin = MAX(0, Gross - (Mfg + Tariff + Fees)), Rep Earned = Margin * Rate, Company Net = Margin - Rep Earned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⚡ NOTE: Staging Stripe is in Sandbox Mode. Use Test Card: 4242 4242 4242 4242 | Exp: Any future (e.g. 12/28) | CVC: 123 | Zip: 90210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5">
      <c r="A5" t="str">
        <v>Case ID</v>
      </c>
      <c r="B5" t="str">
        <v>Scenario Description</v>
      </c>
      <c r="C5" t="str">
        <v>Retail Gross ($)</v>
      </c>
      <c r="D5" t="str">
        <v>Mfg Cost ($)</v>
      </c>
      <c r="E5" t="str">
        <v>Tariff ($)</v>
      </c>
      <c r="F5" t="str">
        <v>Fees / Fundraising ($)</v>
      </c>
      <c r="G5" t="str">
        <v>Net Margin ($)</v>
      </c>
      <c r="H5" t="str">
        <v>Rep Rate</v>
      </c>
      <c r="I5" t="str">
        <v>Rep Commission ($)</v>
      </c>
      <c r="J5" t="str">
        <v>Company Net ($)</v>
      </c>
      <c r="K5" t="str">
        <v>Payout Status</v>
      </c>
    </row>
    <row r="6">
      <c r="A6" t="str">
        <v>TC-01</v>
      </c>
      <c r="B6" t="str">
        <v>Standard Team Store (50/50 split)</v>
      </c>
      <c r="C6">
        <v>1200</v>
      </c>
      <c r="D6">
        <v>600</v>
      </c>
      <c r="E6">
        <v>0</v>
      </c>
      <c r="F6">
        <v>0</v>
      </c>
      <c r="G6">
        <f>MAX(0, C6-(D6+E6+F6))</f>
      </c>
      <c r="H6">
        <v>0.5</v>
      </c>
      <c r="I6">
        <f>G6*H6</f>
      </c>
      <c r="J6">
        <f>G6-I6</f>
      </c>
      <c r="K6" t="str">
        <v>PENDING</v>
      </c>
    </row>
    <row r="7">
      <c r="A7" t="str">
        <v>TC-02</v>
      </c>
      <c r="B7" t="str">
        <v>Tariff Applied (Import deduction)</v>
      </c>
      <c r="C7">
        <v>2500</v>
      </c>
      <c r="D7">
        <v>1100</v>
      </c>
      <c r="E7">
        <v>150</v>
      </c>
      <c r="F7">
        <v>0</v>
      </c>
      <c r="G7">
        <f>MAX(0, C7-(D7+E7+F7))</f>
      </c>
      <c r="H7">
        <v>0.5</v>
      </c>
      <c r="I7">
        <f>G7*H7</f>
      </c>
      <c r="J7">
        <f>G7-I7</f>
      </c>
      <c r="K7" t="str">
        <v>PENDING</v>
      </c>
    </row>
    <row r="8">
      <c r="A8" t="str">
        <v>TC-03</v>
      </c>
      <c r="B8" t="str">
        <v>School Kickback ($5/item fundraising)</v>
      </c>
      <c r="C8">
        <v>3000</v>
      </c>
      <c r="D8">
        <v>1400</v>
      </c>
      <c r="E8">
        <v>0</v>
      </c>
      <c r="F8">
        <v>300</v>
      </c>
      <c r="G8">
        <f>MAX(0, C8-(D8+E8+F8))</f>
      </c>
      <c r="H8">
        <v>0.5</v>
      </c>
      <c r="I8">
        <f>G8*H8</f>
      </c>
      <c r="J8">
        <f>G8-I8</f>
      </c>
      <c r="K8" t="str">
        <v>CLEARED</v>
      </c>
    </row>
    <row r="9">
      <c r="A9" t="str">
        <v>TC-04</v>
      </c>
      <c r="B9" t="str">
        <v>Senior Rep Tier (60% custom rate)</v>
      </c>
      <c r="C9">
        <v>4800</v>
      </c>
      <c r="D9">
        <v>2200</v>
      </c>
      <c r="E9">
        <v>100</v>
      </c>
      <c r="F9">
        <v>100</v>
      </c>
      <c r="G9">
        <f>MAX(0, C9-(D9+E9+F9))</f>
      </c>
      <c r="H9">
        <v>0.6</v>
      </c>
      <c r="I9">
        <f>G9*H9</f>
      </c>
      <c r="J9">
        <f>G9-I9</f>
      </c>
      <c r="K9" t="str">
        <v>CLEARED</v>
      </c>
    </row>
    <row r="10">
      <c r="A10" t="str">
        <v>TC-05</v>
      </c>
      <c r="B10" t="str">
        <v>Junior Rep Tier (40% custom rate)</v>
      </c>
      <c r="C10">
        <v>1500</v>
      </c>
      <c r="D10">
        <v>750</v>
      </c>
      <c r="E10">
        <v>0</v>
      </c>
      <c r="F10">
        <v>50</v>
      </c>
      <c r="G10">
        <f>MAX(0, C10-(D10+E10+F10))</f>
      </c>
      <c r="H10">
        <v>0.4</v>
      </c>
      <c r="I10">
        <f>G10*H10</f>
      </c>
      <c r="J10">
        <f>G10-I10</f>
      </c>
      <c r="K10" t="str">
        <v>PAID</v>
      </c>
    </row>
    <row r="11">
      <c r="A11" t="str">
        <v>TC-06</v>
      </c>
      <c r="B11" t="str">
        <v>Zero-Margin Guard (Costs &gt;= Gross)</v>
      </c>
      <c r="C11">
        <v>500</v>
      </c>
      <c r="D11">
        <v>480</v>
      </c>
      <c r="E11">
        <v>20</v>
      </c>
      <c r="F11">
        <v>50</v>
      </c>
      <c r="G11">
        <f>MAX(0, C11-(D11+E11+F11))</f>
      </c>
      <c r="H11">
        <v>0.5</v>
      </c>
      <c r="I11">
        <f>G11*H11</f>
      </c>
      <c r="J11">
        <f>G11-I11</f>
      </c>
      <c r="K11" t="str">
        <v>PENDING</v>
      </c>
    </row>
    <row r="12">
      <c r="A12" t="str">
        <v>TC-07</v>
      </c>
      <c r="B12" t="str">
        <v>High-Volume Club Batch (Tariffs &amp; fees)</v>
      </c>
      <c r="C12">
        <v>8500</v>
      </c>
      <c r="D12">
        <v>3800</v>
      </c>
      <c r="E12">
        <v>350</v>
      </c>
      <c r="F12">
        <v>250</v>
      </c>
      <c r="G12">
        <f>MAX(0, C12-(D12+E12+F12))</f>
      </c>
      <c r="H12">
        <v>0.5</v>
      </c>
      <c r="I12">
        <f>G12*H12</f>
      </c>
      <c r="J12">
        <f>G12-I12</f>
      </c>
      <c r="K12" t="str">
        <v>PAID</v>
      </c>
    </row>
    <row r="14">
      <c r="A14" t="str">
        <v>TOTALS</v>
      </c>
      <c r="B14" t="str">
        <v>Portfolio Aggregates</v>
      </c>
      <c r="C14">
        <f>SUM(C6:C12)</f>
      </c>
      <c r="D14">
        <f>SUM(D6:D12)</f>
      </c>
      <c r="E14">
        <f>SUM(E6:E12)</f>
      </c>
      <c r="F14">
        <f>SUM(F6:F12)</f>
      </c>
      <c r="G14">
        <f>SUM(G6:G12)</f>
      </c>
      <c r="H14" t="str">
        <v>—</v>
      </c>
      <c r="I14">
        <f>SUM(I6:I12)</f>
      </c>
      <c r="J14">
        <f>SUM(J6:J12)</f>
      </c>
      <c r="K14" t="str">
        <v>—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Test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