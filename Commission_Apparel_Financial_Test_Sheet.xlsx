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Financial Test Matrix" sheetId="1" r:id="rId1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22"/>
  <sheetViews>
    <sheetView workbookViewId="0"/>
  </sheetViews>
  <cols>
    <col min="1" max="1" width="10.83203125" customWidth="1"/>
    <col min="2" max="2" width="16.83203125" customWidth="1"/>
    <col min="3" max="3" width="38.83203125" customWidth="1"/>
    <col min="4" max="4" width="36.83203125" customWidth="1"/>
    <col min="5" max="5" width="15.83203125" customWidth="1"/>
    <col min="6" max="6" width="13.83203125" customWidth="1"/>
    <col min="7" max="7" width="11.83203125" customWidth="1"/>
    <col min="8" max="8" width="20.83203125" customWidth="1"/>
    <col min="9" max="9" width="15.83203125" customWidth="1"/>
    <col min="10" max="10" width="11.83203125" customWidth="1"/>
    <col min="11" max="11" width="19.83203125" customWidth="1"/>
    <col min="12" max="12" width="17.83203125" customWidth="1"/>
    <col min="13" max="13" width="14.83203125" customWidth="1"/>
    <col min="14" max="14" width="50.83203125" customWidth="1"/>
  </cols>
  <sheetData>
    <row r="1">
      <c r="A1" t="str">
        <v>Commission Apparel - Financial &amp; Mathematical Test Matrix (Aligned with Staging Seeder)</v>
      </c>
      <c r="B1" t="str">
        <v/>
      </c>
      <c r="C1" t="str">
        <v/>
      </c>
      <c r="D1" t="str">
        <v/>
      </c>
      <c r="E1" t="str">
        <v/>
      </c>
      <c r="F1" t="str">
        <v/>
      </c>
      <c r="G1" t="str">
        <v/>
      </c>
      <c r="H1" t="str">
        <v/>
      </c>
      <c r="I1" t="str">
        <v/>
      </c>
      <c r="J1" t="str">
        <v/>
      </c>
      <c r="K1" t="str">
        <v/>
      </c>
      <c r="L1" t="str">
        <v/>
      </c>
    </row>
    <row r="2">
      <c r="A2" t="str">
        <v>Seeder File: database/seeders/FinancialTestScenarioSeeder.php</v>
      </c>
      <c r="B2" t="str">
        <v/>
      </c>
      <c r="C2" t="str">
        <v/>
      </c>
      <c r="D2" t="str">
        <v/>
      </c>
      <c r="E2" t="str">
        <v/>
      </c>
      <c r="F2" t="str">
        <v/>
      </c>
      <c r="G2" t="str">
        <v/>
      </c>
      <c r="H2" t="str">
        <v/>
      </c>
      <c r="I2" t="str">
        <v/>
      </c>
      <c r="J2" t="str">
        <v/>
      </c>
      <c r="K2" t="str">
        <v/>
      </c>
      <c r="L2" t="str">
        <v/>
      </c>
    </row>
    <row r="3">
      <c r="A3" t="str">
        <v>Formula Engine: Net Margin = MAX(0, Gross - (Mfg + Tariff + Deductions)) | Rep Earned = Margin * Rate | Company Net = Margin - Rep Earned</v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</row>
    <row r="4">
      <c r="A4" t="str">
        <v>⚡ Staging Stripe Sandbox Card: 4242 4242 4242 4242 | Exp: Any future date (12/28) | CVC: 123 | Zip: 90210</v>
      </c>
      <c r="B4" t="str">
        <v/>
      </c>
      <c r="C4" t="str">
        <v/>
      </c>
      <c r="D4" t="str">
        <v/>
      </c>
      <c r="E4" t="str">
        <v/>
      </c>
      <c r="F4" t="str">
        <v/>
      </c>
      <c r="G4" t="str">
        <v/>
      </c>
      <c r="H4" t="str">
        <v/>
      </c>
      <c r="I4" t="str">
        <v/>
      </c>
      <c r="J4" t="str">
        <v/>
      </c>
      <c r="K4" t="str">
        <v/>
      </c>
      <c r="L4" t="str">
        <v/>
      </c>
    </row>
    <row r="6">
      <c r="A6" t="str">
        <v>Case ID</v>
      </c>
      <c r="B6" t="str">
        <v>Athlete Name</v>
      </c>
      <c r="C6" t="str">
        <v>Order Item Name</v>
      </c>
      <c r="D6" t="str">
        <v>Scenario Description</v>
      </c>
      <c r="E6" t="str">
        <v>Retail Gross ($)</v>
      </c>
      <c r="F6" t="str">
        <v>Mfg Cost ($)</v>
      </c>
      <c r="G6" t="str">
        <v>Tariff ($)</v>
      </c>
      <c r="H6" t="str">
        <v>Fees / Fundraising ($)</v>
      </c>
      <c r="I6" t="str">
        <v>Net Margin ($)</v>
      </c>
      <c r="J6" t="str">
        <v>Rep Rate</v>
      </c>
      <c r="K6" t="str">
        <v>Rep Commission ($)</v>
      </c>
      <c r="L6" t="str">
        <v>Company Net ($)</v>
      </c>
      <c r="M6" t="str">
        <v>Payout Status</v>
      </c>
      <c r="N6" t="str">
        <v>Seeder Notes</v>
      </c>
    </row>
    <row r="7">
      <c r="A7" t="str">
        <v>TC-01</v>
      </c>
      <c r="B7" t="str">
        <v>Marcus Vance</v>
      </c>
      <c r="C7" t="str">
        <v>Custom Sublimated Team Uniform Set</v>
      </c>
      <c r="D7" t="str">
        <v>Standard Team Store (50/50 split)</v>
      </c>
      <c r="E7">
        <v>1200</v>
      </c>
      <c r="F7">
        <v>600</v>
      </c>
      <c r="G7">
        <v>0</v>
      </c>
      <c r="H7">
        <v>0</v>
      </c>
      <c r="I7">
        <f>MAX(0, E7-(F7+G7+H7))</f>
      </c>
      <c r="J7">
        <v>0.5</v>
      </c>
      <c r="K7">
        <f>I7*J7</f>
      </c>
      <c r="L7">
        <f>I7-K7</f>
      </c>
      <c r="M7" t="str">
        <v>PENDING</v>
      </c>
      <c r="N7" t="str">
        <v>Clean 50/50 split on standard team store order.</v>
      </c>
    </row>
    <row r="8">
      <c r="A8" t="str">
        <v>TC-02</v>
      </c>
      <c r="B8" t="str">
        <v>Jordan Hayes</v>
      </c>
      <c r="C8" t="str">
        <v>Overseas Custom Sublimation Package</v>
      </c>
      <c r="D8" t="str">
        <v>Tariff Applied (Import deduction)</v>
      </c>
      <c r="E8">
        <v>2500</v>
      </c>
      <c r="F8">
        <v>1100</v>
      </c>
      <c r="G8">
        <v>150</v>
      </c>
      <c r="H8">
        <v>0</v>
      </c>
      <c r="I8">
        <f>MAX(0, E8-(F8+G8+H8))</f>
      </c>
      <c r="J8">
        <v>0.5</v>
      </c>
      <c r="K8">
        <f>I8*J8</f>
      </c>
      <c r="L8">
        <f>I8-K8</f>
      </c>
      <c r="M8" t="str">
        <v>PENDING</v>
      </c>
      <c r="N8" t="str">
        <v>Custom overseas sublimation with $150 tariff deduction.</v>
      </c>
    </row>
    <row r="9">
      <c r="A9" t="str">
        <v>TC-03</v>
      </c>
      <c r="B9" t="str">
        <v>Lucas Reyes</v>
      </c>
      <c r="C9" t="str">
        <v>Varsity Fan Wear &amp; Uniform Combo</v>
      </c>
      <c r="D9" t="str">
        <v>School Kickback ($5/item fundraising)</v>
      </c>
      <c r="E9">
        <v>3000</v>
      </c>
      <c r="F9">
        <v>1400</v>
      </c>
      <c r="G9">
        <v>0</v>
      </c>
      <c r="H9">
        <v>300</v>
      </c>
      <c r="I9">
        <f>MAX(0, E9-(F9+G9+H9))</f>
      </c>
      <c r="J9">
        <v>0.5</v>
      </c>
      <c r="K9">
        <f>I9*J9</f>
      </c>
      <c r="L9">
        <f>I9-K9</f>
      </c>
      <c r="M9" t="str">
        <v>CLEARED</v>
      </c>
      <c r="N9" t="str">
        <v>School booster club fundraising kickback of $300 deducted.</v>
      </c>
    </row>
    <row r="10">
      <c r="A10" t="str">
        <v>TC-04</v>
      </c>
      <c r="B10" t="str">
        <v>Devon Miller</v>
      </c>
      <c r="C10" t="str">
        <v>Championship Club Pack (Senior Tier)</v>
      </c>
      <c r="D10" t="str">
        <v>Senior Rep Tier (60% custom rate)</v>
      </c>
      <c r="E10">
        <v>4800</v>
      </c>
      <c r="F10">
        <v>2200</v>
      </c>
      <c r="G10">
        <v>100</v>
      </c>
      <c r="H10">
        <v>100</v>
      </c>
      <c r="I10">
        <f>MAX(0, E10-(F10+G10+H10))</f>
      </c>
      <c r="J10">
        <v>0.6</v>
      </c>
      <c r="K10">
        <f>I10*J10</f>
      </c>
      <c r="L10">
        <f>I10-K10</f>
      </c>
      <c r="M10" t="str">
        <v>CLEARED</v>
      </c>
      <c r="N10" t="str">
        <v>Senior partner commission tier override at 60.0%.</v>
      </c>
    </row>
    <row r="11">
      <c r="A11" t="str">
        <v>TC-05</v>
      </c>
      <c r="B11" t="str">
        <v>Ethan Cruz</v>
      </c>
      <c r="C11" t="str">
        <v>Youth League Practice Pack (Junior Tier)</v>
      </c>
      <c r="D11" t="str">
        <v>Junior Rep Tier (40% custom rate)</v>
      </c>
      <c r="E11">
        <v>1500</v>
      </c>
      <c r="F11">
        <v>750</v>
      </c>
      <c r="G11">
        <v>0</v>
      </c>
      <c r="H11">
        <v>50</v>
      </c>
      <c r="I11">
        <f>MAX(0, E11-(F11+G11+H11))</f>
      </c>
      <c r="J11">
        <v>0.4</v>
      </c>
      <c r="K11">
        <f>I11*J11</f>
      </c>
      <c r="L11">
        <f>I11-K11</f>
      </c>
      <c r="M11" t="str">
        <v>PAID</v>
      </c>
      <c r="N11" t="str">
        <v>Junior partner referral tier at 40.0%, fully disbursed.</v>
      </c>
    </row>
    <row r="12">
      <c r="A12" t="str">
        <v>TC-06</v>
      </c>
      <c r="B12" t="str">
        <v>Liam Walker</v>
      </c>
      <c r="C12" t="str">
        <v>Rushed Prototype Sample Kit</v>
      </c>
      <c r="D12" t="str">
        <v>Zero-Margin Guard (Costs &gt;= Gross)</v>
      </c>
      <c r="E12">
        <v>500</v>
      </c>
      <c r="F12">
        <v>480</v>
      </c>
      <c r="G12">
        <v>20</v>
      </c>
      <c r="H12">
        <v>50</v>
      </c>
      <c r="I12">
        <f>MAX(0, E12-(F12+G12+H12))</f>
      </c>
      <c r="J12">
        <v>0.5</v>
      </c>
      <c r="K12">
        <f>I12*J12</f>
      </c>
      <c r="L12">
        <f>I12-K12</f>
      </c>
      <c r="M12" t="str">
        <v>PENDING</v>
      </c>
      <c r="N12" t="str">
        <v>High sample cost guard test ($550 total costs vs $500 gross). Clamped to $0.00.</v>
      </c>
    </row>
    <row r="13">
      <c r="A13" t="str">
        <v>TC-07</v>
      </c>
      <c r="B13" t="str">
        <v>Tyler Brooke</v>
      </c>
      <c r="C13" t="str">
        <v>Regional Travel Program Elite Batch</v>
      </c>
      <c r="D13" t="str">
        <v>High-Volume Club Batch (Tariffs &amp; fees)</v>
      </c>
      <c r="E13">
        <v>8500</v>
      </c>
      <c r="F13">
        <v>3800</v>
      </c>
      <c r="G13">
        <v>350</v>
      </c>
      <c r="H13">
        <v>250</v>
      </c>
      <c r="I13">
        <f>MAX(0, E13-(F13+G13+H13))</f>
      </c>
      <c r="J13">
        <v>0.5</v>
      </c>
      <c r="K13">
        <f>I13*J13</f>
      </c>
      <c r="L13">
        <f>I13-K13</f>
      </c>
      <c r="M13" t="str">
        <v>PAID</v>
      </c>
      <c r="N13" t="str">
        <v>High volume travel club batch, fully cleared and paid out.</v>
      </c>
    </row>
    <row r="15">
      <c r="A15" t="str">
        <v>TOTALS</v>
      </c>
      <c r="B15" t="str">
        <v>—</v>
      </c>
      <c r="C15" t="str">
        <v>—</v>
      </c>
      <c r="D15" t="str">
        <v>Portfolio Aggregates</v>
      </c>
      <c r="E15">
        <f>SUM(E7:E13)</f>
      </c>
      <c r="F15">
        <f>SUM(F7:F13)</f>
      </c>
      <c r="G15">
        <f>SUM(G7:G13)</f>
      </c>
      <c r="H15">
        <f>SUM(H7:H13)</f>
      </c>
      <c r="I15">
        <f>SUM(I7:I13)</f>
      </c>
      <c r="J15" t="str">
        <v>—</v>
      </c>
      <c r="K15">
        <f>SUM(K7:K13)</f>
      </c>
      <c r="L15">
        <f>SUM(L7:L13)</f>
      </c>
      <c r="M15" t="str">
        <v>—</v>
      </c>
      <c r="N15" t="str">
        <v>—</v>
      </c>
    </row>
    <row r="17">
      <c r="A17" t="str">
        <v>STAGING DASHBOARD SUMMARY CARDS CHECKLIST</v>
      </c>
      <c r="B17" t="str">
        <v/>
      </c>
      <c r="C17" t="str">
        <v/>
      </c>
      <c r="D17" t="str">
        <v/>
      </c>
      <c r="E17" t="str">
        <v/>
      </c>
      <c r="F17" t="str">
        <v/>
      </c>
      <c r="G17" t="str">
        <v/>
      </c>
      <c r="H17" t="str">
        <v/>
      </c>
      <c r="I17" t="str">
        <v/>
      </c>
      <c r="J17" t="str">
        <v/>
      </c>
      <c r="K17" t="str">
        <v/>
      </c>
      <c r="L17" t="str">
        <v/>
      </c>
    </row>
    <row r="18">
      <c r="A18" t="str">
        <v>Metric Card</v>
      </c>
      <c r="B18" t="str">
        <v>Expected Target</v>
      </c>
      <c r="C18" t="str">
        <v>Seeder Test Cases Included</v>
      </c>
      <c r="D18" t="str">
        <v/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</row>
    <row r="19">
      <c r="A19" t="str">
        <v>Pending Commission</v>
      </c>
      <c r="B19">
        <v>925</v>
      </c>
      <c r="C19" t="str">
        <v>TC-01 ($300) + TC-02 ($625) + TC-06 ($0)</v>
      </c>
      <c r="D19" t="str">
        <v/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</row>
    <row r="20">
      <c r="A20" t="str">
        <v>Cleared Commission</v>
      </c>
      <c r="B20">
        <v>2090</v>
      </c>
      <c r="C20" t="str">
        <v>TC-03 ($650) + TC-04 ($1,440)</v>
      </c>
      <c r="D20" t="str">
        <v/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</row>
    <row r="21">
      <c r="A21" t="str">
        <v>Paid Commission</v>
      </c>
      <c r="B21">
        <v>2330</v>
      </c>
      <c r="C21" t="str">
        <v>TC-05 ($280) + TC-07 ($2,050)</v>
      </c>
      <c r="D21" t="str">
        <v/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</row>
    <row r="22">
      <c r="A22" t="str">
        <v>Lifetime Commission Earned</v>
      </c>
      <c r="B22">
        <v>5345</v>
      </c>
      <c r="C22" t="str">
        <v>Sum of all 7 test cases</v>
      </c>
      <c r="D22" t="str">
        <v/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</row>
  </sheetData>
  <ignoredErrors>
    <ignoredError numberStoredAsText="1" sqref="A1:N22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Financial Test Matrix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